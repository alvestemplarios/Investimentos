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ANTANDER\EXCEL\"/>
    </mc:Choice>
  </mc:AlternateContent>
  <xr:revisionPtr revIDLastSave="0" documentId="13_ncr:1_{1780EE45-D681-412B-8918-A40478820EF8}" xr6:coauthVersionLast="47" xr6:coauthVersionMax="47" xr10:uidLastSave="{00000000-0000-0000-0000-000000000000}"/>
  <bookViews>
    <workbookView xWindow="-108" yWindow="-108" windowWidth="23256" windowHeight="12456" xr2:uid="{6B1F9641-2835-4ACA-A22F-D90A5DB81153}"/>
  </bookViews>
  <sheets>
    <sheet name="Investimentos" sheetId="1" r:id="rId1"/>
    <sheet name="Planilha2" sheetId="2" state="hidden" r:id="rId2"/>
  </sheets>
  <definedNames>
    <definedName name="aporte">Investimentos!$D$18</definedName>
    <definedName name="dividendo">Investimentos!$D$22</definedName>
    <definedName name="patrimonio">Investimentos!$D$21</definedName>
    <definedName name="qtdAnos">Investimentos!$D$19</definedName>
    <definedName name="rendimentoCarteira">Investimentos!$D$14</definedName>
    <definedName name="salario">Investimentos!$D$13</definedName>
    <definedName name="sugestaoInvestimentos">Investimentos!$D$15</definedName>
    <definedName name="tabelaApoioPerfil">Planilha2!$A$1:$D$19</definedName>
    <definedName name="taxaRendimento">Investimentos!$D$20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A9" i="2"/>
  <c r="A10" i="2"/>
  <c r="A11" i="2"/>
  <c r="A12" i="2"/>
  <c r="A13" i="2"/>
  <c r="A14" i="2"/>
  <c r="A15" i="2"/>
  <c r="A16" i="2"/>
  <c r="A17" i="2"/>
  <c r="A18" i="2"/>
  <c r="A19" i="2"/>
  <c r="A8" i="2"/>
  <c r="A3" i="2"/>
  <c r="A4" i="2"/>
  <c r="A5" i="2"/>
  <c r="A6" i="2"/>
  <c r="A7" i="2"/>
  <c r="A2" i="2"/>
  <c r="C32" i="1"/>
  <c r="D21" i="1"/>
  <c r="D22" i="1" s="1"/>
  <c r="D15" i="1"/>
  <c r="C29" i="1"/>
  <c r="D29" i="1" s="1"/>
  <c r="C26" i="1"/>
  <c r="D26" i="1" s="1"/>
  <c r="C27" i="1"/>
  <c r="D27" i="1" s="1"/>
  <c r="C28" i="1"/>
  <c r="D28" i="1" s="1"/>
  <c r="C25" i="1"/>
  <c r="D25" i="1" s="1"/>
  <c r="D36" i="1" l="1"/>
  <c r="D39" i="1"/>
  <c r="D38" i="1"/>
  <c r="D37" i="1"/>
  <c r="D35" i="1"/>
  <c r="D40" i="1"/>
  <c r="D41" i="1" l="1"/>
</calcChain>
</file>

<file path=xl/sharedStrings.xml><?xml version="1.0" encoding="utf-8"?>
<sst xmlns="http://schemas.openxmlformats.org/spreadsheetml/2006/main" count="69" uniqueCount="33">
  <si>
    <t>INVESTIMENTOS MENSAL</t>
  </si>
  <si>
    <t>CENÁRIOS</t>
  </si>
  <si>
    <t>DIVIDENDO</t>
  </si>
  <si>
    <t>CONFIGURAÇÕES</t>
  </si>
  <si>
    <t>PERFIL</t>
  </si>
  <si>
    <t>PERCENTUAL SUGERIDO</t>
  </si>
  <si>
    <t>VALORES</t>
  </si>
  <si>
    <t>CONSERVADOR</t>
  </si>
  <si>
    <t>TIPO DE FII</t>
  </si>
  <si>
    <t>PAPEL</t>
  </si>
  <si>
    <t>TIJOLO</t>
  </si>
  <si>
    <t>HÍBRIDOS</t>
  </si>
  <si>
    <t>FOF´S</t>
  </si>
  <si>
    <t>DESENVOLVIMENTO</t>
  </si>
  <si>
    <t>HOTELARIAS</t>
  </si>
  <si>
    <t>AGRESSIVO</t>
  </si>
  <si>
    <t>MODERADO</t>
  </si>
  <si>
    <t>VALOR A SER INVESTIDO POR MÊS</t>
  </si>
  <si>
    <t>%</t>
  </si>
  <si>
    <t>CHAVE</t>
  </si>
  <si>
    <t>SALÁRIO</t>
  </si>
  <si>
    <t>RENDIMENTO CARTEIRA</t>
  </si>
  <si>
    <t>SUGESTÃO DE INVESTIMENTO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</si>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</sst>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badi"/>
      <family val="2"/>
    </font>
    <font>
      <sz val="12"/>
      <color theme="0" tint="-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9EDB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theme="0" tint="-0.24994659260841701"/>
      </bottom>
      <diagonal/>
    </border>
    <border>
      <left/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0" fontId="0" fillId="0" borderId="7" xfId="0" applyNumberFormat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2" xfId="0" applyBorder="1"/>
    <xf numFmtId="9" fontId="0" fillId="0" borderId="0" xfId="2" applyFont="1" applyBorder="1" applyAlignment="1">
      <alignment horizontal="center"/>
    </xf>
    <xf numFmtId="0" fontId="3" fillId="5" borderId="3" xfId="0" applyFont="1" applyFill="1" applyBorder="1"/>
    <xf numFmtId="0" fontId="3" fillId="5" borderId="1" xfId="0" applyFont="1" applyFill="1" applyBorder="1"/>
    <xf numFmtId="164" fontId="7" fillId="5" borderId="8" xfId="0" applyNumberFormat="1" applyFont="1" applyFill="1" applyBorder="1"/>
    <xf numFmtId="164" fontId="0" fillId="4" borderId="7" xfId="0" applyNumberFormat="1" applyFill="1" applyBorder="1"/>
    <xf numFmtId="0" fontId="9" fillId="4" borderId="3" xfId="0" applyFont="1" applyFill="1" applyBorder="1" applyAlignment="1">
      <alignment horizontal="left"/>
    </xf>
    <xf numFmtId="164" fontId="9" fillId="4" borderId="1" xfId="1" applyNumberFormat="1" applyFont="1" applyFill="1" applyBorder="1" applyAlignment="1">
      <alignment horizontal="right"/>
    </xf>
    <xf numFmtId="0" fontId="9" fillId="4" borderId="8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right" indent="1"/>
    </xf>
    <xf numFmtId="0" fontId="4" fillId="6" borderId="0" xfId="0" applyFont="1" applyFill="1" applyBorder="1" applyAlignment="1">
      <alignment horizontal="right" indent="1"/>
    </xf>
    <xf numFmtId="0" fontId="4" fillId="6" borderId="3" xfId="0" applyFont="1" applyFill="1" applyBorder="1" applyAlignment="1">
      <alignment horizontal="right" indent="1"/>
    </xf>
    <xf numFmtId="0" fontId="4" fillId="6" borderId="1" xfId="0" applyFont="1" applyFill="1" applyBorder="1" applyAlignment="1">
      <alignment horizontal="right" indent="1"/>
    </xf>
    <xf numFmtId="8" fontId="0" fillId="4" borderId="9" xfId="0" applyNumberFormat="1" applyFill="1" applyBorder="1" applyAlignment="1">
      <alignment horizontal="right"/>
    </xf>
    <xf numFmtId="8" fontId="0" fillId="4" borderId="10" xfId="0" applyNumberFormat="1" applyFill="1" applyBorder="1" applyAlignment="1">
      <alignment horizontal="right"/>
    </xf>
    <xf numFmtId="0" fontId="0" fillId="0" borderId="11" xfId="0" applyBorder="1" applyAlignment="1">
      <alignment horizontal="right" indent="1"/>
    </xf>
    <xf numFmtId="8" fontId="0" fillId="0" borderId="12" xfId="0" applyNumberFormat="1" applyFill="1" applyBorder="1" applyAlignment="1">
      <alignment horizontal="right"/>
    </xf>
    <xf numFmtId="0" fontId="0" fillId="0" borderId="13" xfId="0" applyBorder="1" applyAlignment="1">
      <alignment horizontal="right" indent="1"/>
    </xf>
    <xf numFmtId="8" fontId="0" fillId="0" borderId="14" xfId="0" applyNumberFormat="1" applyFill="1" applyBorder="1" applyAlignment="1">
      <alignment horizontal="right"/>
    </xf>
    <xf numFmtId="0" fontId="6" fillId="0" borderId="15" xfId="0" applyFont="1" applyBorder="1" applyAlignment="1">
      <alignment horizontal="right" indent="1"/>
    </xf>
    <xf numFmtId="0" fontId="6" fillId="0" borderId="16" xfId="0" applyFont="1" applyBorder="1" applyAlignment="1">
      <alignment horizontal="right" indent="1"/>
    </xf>
    <xf numFmtId="164" fontId="0" fillId="0" borderId="17" xfId="0" applyNumberFormat="1" applyBorder="1" applyAlignment="1">
      <alignment horizontal="center" vertical="center"/>
    </xf>
    <xf numFmtId="0" fontId="6" fillId="0" borderId="11" xfId="0" applyFont="1" applyBorder="1" applyAlignment="1">
      <alignment horizontal="right" indent="1"/>
    </xf>
    <xf numFmtId="0" fontId="6" fillId="0" borderId="12" xfId="0" applyFont="1" applyBorder="1" applyAlignment="1">
      <alignment horizontal="right" indent="1"/>
    </xf>
    <xf numFmtId="0" fontId="0" fillId="0" borderId="18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9" fillId="4" borderId="11" xfId="0" applyFont="1" applyFill="1" applyBorder="1" applyAlignment="1">
      <alignment horizontal="right" indent="1"/>
    </xf>
    <xf numFmtId="0" fontId="9" fillId="4" borderId="12" xfId="0" applyFont="1" applyFill="1" applyBorder="1" applyAlignment="1">
      <alignment horizontal="right" indent="1"/>
    </xf>
    <xf numFmtId="8" fontId="0" fillId="4" borderId="18" xfId="0" applyNumberForma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right" indent="1"/>
    </xf>
    <xf numFmtId="0" fontId="9" fillId="4" borderId="14" xfId="0" applyFont="1" applyFill="1" applyBorder="1" applyAlignment="1">
      <alignment horizontal="right" indent="1"/>
    </xf>
    <xf numFmtId="8" fontId="0" fillId="4" borderId="19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right" indent="1"/>
    </xf>
    <xf numFmtId="8" fontId="0" fillId="0" borderId="16" xfId="0" applyNumberFormat="1" applyFill="1" applyBorder="1" applyAlignment="1">
      <alignment horizontal="right"/>
    </xf>
    <xf numFmtId="0" fontId="8" fillId="2" borderId="4" xfId="0" applyFont="1" applyFill="1" applyBorder="1" applyAlignment="1">
      <alignment horizontal="left" indent="1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9ED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5-4F50-A376-FB3603F62C9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55-4F50-A376-FB3603F62C9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607694</xdr:colOff>
      <xdr:row>1</xdr:row>
      <xdr:rowOff>32385</xdr:rowOff>
    </xdr:from>
    <xdr:to>
      <xdr:col>3</xdr:col>
      <xdr:colOff>1228725</xdr:colOff>
      <xdr:row>9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8BB7FBB-920F-08C7-2C9A-AAD49C6613F9}"/>
            </a:ext>
          </a:extLst>
        </xdr:cNvPr>
        <xdr:cNvSpPr/>
      </xdr:nvSpPr>
      <xdr:spPr>
        <a:xfrm>
          <a:off x="607694" y="213360"/>
          <a:ext cx="6107431" cy="1424940"/>
        </a:xfrm>
        <a:prstGeom prst="round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Aptos Black" panose="020F0502020204030204" pitchFamily="34" charset="0"/>
            </a:rPr>
            <a:t>ALVES</a:t>
          </a:r>
          <a:r>
            <a:rPr lang="pt-BR" sz="2800" b="1" baseline="0">
              <a:latin typeface="Aptos Black" panose="020F0502020204030204" pitchFamily="34" charset="0"/>
            </a:rPr>
            <a:t> INVESTIMENTOS</a:t>
          </a:r>
          <a:endParaRPr lang="pt-BR" sz="2800" b="1">
            <a:latin typeface="Aptos Black" panose="020F0502020204030204" pitchFamily="34" charset="0"/>
          </a:endParaRPr>
        </a:p>
      </xdr:txBody>
    </xdr:sp>
    <xdr:clientData/>
  </xdr:twoCellAnchor>
  <xdr:twoCellAnchor editAs="absolute">
    <xdr:from>
      <xdr:col>3</xdr:col>
      <xdr:colOff>152715</xdr:colOff>
      <xdr:row>2</xdr:row>
      <xdr:rowOff>26599</xdr:rowOff>
    </xdr:from>
    <xdr:to>
      <xdr:col>3</xdr:col>
      <xdr:colOff>875143</xdr:colOff>
      <xdr:row>7</xdr:row>
      <xdr:rowOff>26448</xdr:rowOff>
    </xdr:to>
    <xdr:pic>
      <xdr:nvPicPr>
        <xdr:cNvPr id="4" name="Gráfico 3" descr="Dinheiro estrutura de tópicos">
          <a:extLst>
            <a:ext uri="{FF2B5EF4-FFF2-40B4-BE49-F238E27FC236}">
              <a16:creationId xmlns:a16="http://schemas.microsoft.com/office/drawing/2014/main" id="{85543347-F5C0-B3EC-C67D-B3907DB1B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39115" y="388549"/>
          <a:ext cx="722428" cy="904724"/>
        </a:xfrm>
        <a:prstGeom prst="rect">
          <a:avLst/>
        </a:prstGeom>
      </xdr:spPr>
    </xdr:pic>
    <xdr:clientData/>
  </xdr:twoCellAnchor>
  <xdr:twoCellAnchor editAs="absolute">
    <xdr:from>
      <xdr:col>1</xdr:col>
      <xdr:colOff>290571</xdr:colOff>
      <xdr:row>2</xdr:row>
      <xdr:rowOff>26599</xdr:rowOff>
    </xdr:from>
    <xdr:to>
      <xdr:col>1</xdr:col>
      <xdr:colOff>1012999</xdr:colOff>
      <xdr:row>7</xdr:row>
      <xdr:rowOff>26448</xdr:rowOff>
    </xdr:to>
    <xdr:pic>
      <xdr:nvPicPr>
        <xdr:cNvPr id="6" name="Gráfico 5" descr="Cofrinho estrutura de tópicos">
          <a:extLst>
            <a:ext uri="{FF2B5EF4-FFF2-40B4-BE49-F238E27FC236}">
              <a16:creationId xmlns:a16="http://schemas.microsoft.com/office/drawing/2014/main" id="{D539E63F-9DB7-2125-7473-099BA355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00171" y="388549"/>
          <a:ext cx="722428" cy="904724"/>
        </a:xfrm>
        <a:prstGeom prst="rect">
          <a:avLst/>
        </a:prstGeom>
      </xdr:spPr>
    </xdr:pic>
    <xdr:clientData/>
  </xdr:twoCellAnchor>
  <xdr:twoCellAnchor>
    <xdr:from>
      <xdr:col>1</xdr:col>
      <xdr:colOff>19049</xdr:colOff>
      <xdr:row>42</xdr:row>
      <xdr:rowOff>14288</xdr:rowOff>
    </xdr:from>
    <xdr:to>
      <xdr:col>4</xdr:col>
      <xdr:colOff>28574</xdr:colOff>
      <xdr:row>57</xdr:row>
      <xdr:rowOff>42863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1C71E0A-9565-93DE-E3BB-4872DFF51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671-2AF4-4247-9AE5-79F92BD8C910}">
  <dimension ref="A11:D41"/>
  <sheetViews>
    <sheetView showGridLines="0" tabSelected="1" topLeftCell="A30" zoomScale="80" zoomScaleNormal="80" workbookViewId="0">
      <selection activeCell="J45" sqref="J45"/>
    </sheetView>
  </sheetViews>
  <sheetFormatPr defaultRowHeight="14.4" x14ac:dyDescent="0.3"/>
  <cols>
    <col min="2" max="2" width="36.44140625" bestFit="1" customWidth="1"/>
    <col min="3" max="3" width="34.6640625" bestFit="1" customWidth="1"/>
    <col min="4" max="4" width="18.33203125" customWidth="1"/>
    <col min="5" max="5" width="24" bestFit="1" customWidth="1"/>
    <col min="7" max="7" width="8.88671875" customWidth="1"/>
  </cols>
  <sheetData>
    <row r="11" spans="2:4" ht="15" thickBot="1" x14ac:dyDescent="0.35"/>
    <row r="12" spans="2:4" ht="22.2" x14ac:dyDescent="0.3">
      <c r="B12" s="55" t="s">
        <v>3</v>
      </c>
      <c r="C12" s="56"/>
      <c r="D12" s="57"/>
    </row>
    <row r="13" spans="2:4" ht="15.6" x14ac:dyDescent="0.3">
      <c r="B13" s="23" t="s">
        <v>20</v>
      </c>
      <c r="C13" s="24"/>
      <c r="D13" s="12">
        <v>2000</v>
      </c>
    </row>
    <row r="14" spans="2:4" ht="15.6" x14ac:dyDescent="0.3">
      <c r="B14" s="23" t="s">
        <v>21</v>
      </c>
      <c r="C14" s="24"/>
      <c r="D14" s="6">
        <v>8.9999999999999993E-3</v>
      </c>
    </row>
    <row r="15" spans="2:4" ht="16.2" thickBot="1" x14ac:dyDescent="0.35">
      <c r="B15" s="25" t="s">
        <v>22</v>
      </c>
      <c r="C15" s="26"/>
      <c r="D15" s="13">
        <f>SUM(D13*30%)</f>
        <v>600</v>
      </c>
    </row>
    <row r="16" spans="2:4" ht="15" thickBot="1" x14ac:dyDescent="0.35"/>
    <row r="17" spans="1:4" s="1" customFormat="1" ht="25.05" customHeight="1" thickBot="1" x14ac:dyDescent="0.35">
      <c r="B17" s="51" t="s">
        <v>0</v>
      </c>
      <c r="C17" s="52"/>
      <c r="D17" s="54"/>
    </row>
    <row r="18" spans="1:4" ht="15.6" x14ac:dyDescent="0.3">
      <c r="B18" s="33" t="s">
        <v>23</v>
      </c>
      <c r="C18" s="34"/>
      <c r="D18" s="35">
        <v>200</v>
      </c>
    </row>
    <row r="19" spans="1:4" ht="15.6" x14ac:dyDescent="0.3">
      <c r="B19" s="36" t="s">
        <v>24</v>
      </c>
      <c r="C19" s="37"/>
      <c r="D19" s="38">
        <v>10</v>
      </c>
    </row>
    <row r="20" spans="1:4" ht="15.6" x14ac:dyDescent="0.3">
      <c r="B20" s="36" t="s">
        <v>25</v>
      </c>
      <c r="C20" s="37"/>
      <c r="D20" s="39">
        <v>1.0789999999999999E-2</v>
      </c>
    </row>
    <row r="21" spans="1:4" ht="15.6" x14ac:dyDescent="0.3">
      <c r="B21" s="40" t="s">
        <v>26</v>
      </c>
      <c r="C21" s="41"/>
      <c r="D21" s="42">
        <f>FV(taxaRendimento,qtdAnos*12,aporte*-1)</f>
        <v>48656.842506034438</v>
      </c>
    </row>
    <row r="22" spans="1:4" ht="16.2" thickBot="1" x14ac:dyDescent="0.35">
      <c r="B22" s="43" t="s">
        <v>27</v>
      </c>
      <c r="C22" s="44"/>
      <c r="D22" s="45">
        <f>SUM(patrimonio*rendimentoCarteira)</f>
        <v>437.91158255430992</v>
      </c>
    </row>
    <row r="23" spans="1:4" ht="15" thickBot="1" x14ac:dyDescent="0.35"/>
    <row r="24" spans="1:4" ht="22.8" thickBot="1" x14ac:dyDescent="0.35">
      <c r="B24" s="51" t="s">
        <v>1</v>
      </c>
      <c r="C24" s="52"/>
      <c r="D24" s="53" t="s">
        <v>2</v>
      </c>
    </row>
    <row r="25" spans="1:4" x14ac:dyDescent="0.3">
      <c r="A25" s="2">
        <v>2</v>
      </c>
      <c r="B25" s="46" t="s">
        <v>28</v>
      </c>
      <c r="C25" s="47">
        <f>FV($D$20,$A25*12,$D$18*-1)</f>
        <v>5445.5254595290435</v>
      </c>
      <c r="D25" s="27">
        <f>SUM(C25*rendimentoCarteira)</f>
        <v>49.00972913576139</v>
      </c>
    </row>
    <row r="26" spans="1:4" x14ac:dyDescent="0.3">
      <c r="A26" s="2">
        <v>5</v>
      </c>
      <c r="B26" s="29" t="s">
        <v>29</v>
      </c>
      <c r="C26" s="30">
        <f>FV($D$20,$A26*12,$D$18*-1)</f>
        <v>16755.382799697527</v>
      </c>
      <c r="D26" s="27">
        <f>SUM(C26*rendimentoCarteira)</f>
        <v>150.79844519727774</v>
      </c>
    </row>
    <row r="27" spans="1:4" x14ac:dyDescent="0.3">
      <c r="A27" s="2">
        <v>10</v>
      </c>
      <c r="B27" s="29" t="s">
        <v>30</v>
      </c>
      <c r="C27" s="30">
        <f>FV($D$20,$A27*12,$D$18*-1)</f>
        <v>48656.842506034438</v>
      </c>
      <c r="D27" s="27">
        <f>SUM(C27*rendimentoCarteira)</f>
        <v>437.91158255430992</v>
      </c>
    </row>
    <row r="28" spans="1:4" x14ac:dyDescent="0.3">
      <c r="A28" s="2">
        <v>20</v>
      </c>
      <c r="B28" s="29" t="s">
        <v>31</v>
      </c>
      <c r="C28" s="30">
        <f>FV($D$20,$A28*12,$D$18*-1)</f>
        <v>225039.68001941612</v>
      </c>
      <c r="D28" s="27">
        <f>SUM(C28*rendimentoCarteira)</f>
        <v>2025.357120174745</v>
      </c>
    </row>
    <row r="29" spans="1:4" ht="15" thickBot="1" x14ac:dyDescent="0.35">
      <c r="A29" s="2">
        <v>30</v>
      </c>
      <c r="B29" s="31" t="s">
        <v>32</v>
      </c>
      <c r="C29" s="32">
        <f>FV($D$20,$A29*12,$D$18*-1)</f>
        <v>864433.93100094295</v>
      </c>
      <c r="D29" s="28">
        <f>SUM(C29*rendimentoCarteira)</f>
        <v>7779.9053790084863</v>
      </c>
    </row>
    <row r="30" spans="1:4" ht="15" thickBot="1" x14ac:dyDescent="0.35"/>
    <row r="31" spans="1:4" ht="21" x14ac:dyDescent="0.4">
      <c r="B31" s="48" t="s">
        <v>4</v>
      </c>
      <c r="C31" s="49" t="s">
        <v>7</v>
      </c>
      <c r="D31" s="50"/>
    </row>
    <row r="32" spans="1:4" ht="16.2" thickBot="1" x14ac:dyDescent="0.35">
      <c r="B32" s="20" t="s">
        <v>17</v>
      </c>
      <c r="C32" s="21">
        <f>aporte</f>
        <v>200</v>
      </c>
      <c r="D32" s="22"/>
    </row>
    <row r="33" spans="2:4" ht="15" thickBot="1" x14ac:dyDescent="0.35"/>
    <row r="34" spans="2:4" ht="22.8" thickBot="1" x14ac:dyDescent="0.5">
      <c r="B34" s="58" t="s">
        <v>8</v>
      </c>
      <c r="C34" s="59" t="s">
        <v>5</v>
      </c>
      <c r="D34" s="60" t="s">
        <v>6</v>
      </c>
    </row>
    <row r="35" spans="2:4" x14ac:dyDescent="0.3">
      <c r="B35" s="14" t="s">
        <v>9</v>
      </c>
      <c r="C35" s="15">
        <f>VLOOKUP($C$31&amp;"-"&amp;B35,tabelaApoioPerfil,4,0)</f>
        <v>0.3</v>
      </c>
      <c r="D35" s="19">
        <f>C35*$C$32</f>
        <v>60</v>
      </c>
    </row>
    <row r="36" spans="2:4" x14ac:dyDescent="0.3">
      <c r="B36" s="14" t="s">
        <v>10</v>
      </c>
      <c r="C36" s="15">
        <f>VLOOKUP($C$31&amp;"-"&amp;B36,tabelaApoioPerfil,4,0)</f>
        <v>0.5</v>
      </c>
      <c r="D36" s="19">
        <f t="shared" ref="D36:D40" si="0">C36*$C$32</f>
        <v>100</v>
      </c>
    </row>
    <row r="37" spans="2:4" x14ac:dyDescent="0.3">
      <c r="B37" s="14" t="s">
        <v>11</v>
      </c>
      <c r="C37" s="15">
        <f>VLOOKUP($C$31&amp;"-"&amp;B37,tabelaApoioPerfil,4,0)</f>
        <v>0.1</v>
      </c>
      <c r="D37" s="19">
        <f t="shared" si="0"/>
        <v>20</v>
      </c>
    </row>
    <row r="38" spans="2:4" x14ac:dyDescent="0.3">
      <c r="B38" s="14" t="s">
        <v>12</v>
      </c>
      <c r="C38" s="15">
        <f>VLOOKUP($C$31&amp;"-"&amp;B38,tabelaApoioPerfil,4,0)</f>
        <v>0.1</v>
      </c>
      <c r="D38" s="19">
        <f t="shared" si="0"/>
        <v>20</v>
      </c>
    </row>
    <row r="39" spans="2:4" x14ac:dyDescent="0.3">
      <c r="B39" s="14" t="s">
        <v>13</v>
      </c>
      <c r="C39" s="15">
        <f>VLOOKUP($C$31&amp;"-"&amp;B39,tabelaApoioPerfil,4,0)</f>
        <v>0</v>
      </c>
      <c r="D39" s="19">
        <f t="shared" si="0"/>
        <v>0</v>
      </c>
    </row>
    <row r="40" spans="2:4" x14ac:dyDescent="0.3">
      <c r="B40" s="14" t="s">
        <v>14</v>
      </c>
      <c r="C40" s="15">
        <f>VLOOKUP($C$31&amp;"-"&amp;B40,tabelaApoioPerfil,4,0)</f>
        <v>0</v>
      </c>
      <c r="D40" s="19">
        <f t="shared" si="0"/>
        <v>0</v>
      </c>
    </row>
    <row r="41" spans="2:4" ht="18.600000000000001" thickBot="1" x14ac:dyDescent="0.4">
      <c r="B41" s="16"/>
      <c r="C41" s="17"/>
      <c r="D41" s="18">
        <f>SUM(D35:D40)</f>
        <v>200</v>
      </c>
    </row>
  </sheetData>
  <mergeCells count="12">
    <mergeCell ref="B13:C13"/>
    <mergeCell ref="B14:C14"/>
    <mergeCell ref="B15:C15"/>
    <mergeCell ref="C31:D31"/>
    <mergeCell ref="B24:C24"/>
    <mergeCell ref="B17:D17"/>
    <mergeCell ref="B18:C18"/>
    <mergeCell ref="B19:C19"/>
    <mergeCell ref="B20:C20"/>
    <mergeCell ref="B21:C21"/>
    <mergeCell ref="B22:C22"/>
    <mergeCell ref="B12:D12"/>
  </mergeCells>
  <dataValidations count="1">
    <dataValidation type="list" allowBlank="1" showInputMessage="1" showErrorMessage="1" sqref="C31:D31" xr:uid="{79322C44-5F7D-4E24-8ADA-BCAE986C9BE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0588-3748-4589-A4FB-625263E2205F}">
  <dimension ref="A1:D19"/>
  <sheetViews>
    <sheetView workbookViewId="0">
      <selection activeCell="D14" sqref="D14"/>
    </sheetView>
  </sheetViews>
  <sheetFormatPr defaultRowHeight="14.4" x14ac:dyDescent="0.3"/>
  <cols>
    <col min="1" max="1" width="31.5546875" bestFit="1" customWidth="1"/>
    <col min="2" max="2" width="16.109375" customWidth="1"/>
    <col min="3" max="3" width="23" customWidth="1"/>
    <col min="4" max="4" width="12.33203125" customWidth="1"/>
  </cols>
  <sheetData>
    <row r="1" spans="1:4" s="3" customFormat="1" x14ac:dyDescent="0.3">
      <c r="A1" s="8" t="s">
        <v>19</v>
      </c>
      <c r="B1" s="8" t="s">
        <v>4</v>
      </c>
      <c r="C1" s="8" t="s">
        <v>8</v>
      </c>
      <c r="D1" s="8" t="s">
        <v>18</v>
      </c>
    </row>
    <row r="2" spans="1:4" x14ac:dyDescent="0.3">
      <c r="A2" t="str">
        <f>B2&amp;"-"&amp;C2</f>
        <v>CONSERVADOR-PAPEL</v>
      </c>
      <c r="B2" t="s">
        <v>7</v>
      </c>
      <c r="C2" s="5" t="s">
        <v>9</v>
      </c>
      <c r="D2" s="7">
        <v>0.3</v>
      </c>
    </row>
    <row r="3" spans="1:4" x14ac:dyDescent="0.3">
      <c r="A3" t="str">
        <f t="shared" ref="A3:A19" si="0">B3&amp;"-"&amp;C3</f>
        <v>CONSERVADOR-TIJOLO</v>
      </c>
      <c r="B3" t="s">
        <v>7</v>
      </c>
      <c r="C3" s="5" t="s">
        <v>10</v>
      </c>
      <c r="D3" s="7">
        <v>0.5</v>
      </c>
    </row>
    <row r="4" spans="1:4" x14ac:dyDescent="0.3">
      <c r="A4" t="str">
        <f t="shared" si="0"/>
        <v>CONSERVADOR-HÍBRIDOS</v>
      </c>
      <c r="B4" t="s">
        <v>7</v>
      </c>
      <c r="C4" s="5" t="s">
        <v>11</v>
      </c>
      <c r="D4" s="7">
        <v>0.1</v>
      </c>
    </row>
    <row r="5" spans="1:4" x14ac:dyDescent="0.3">
      <c r="A5" t="str">
        <f t="shared" si="0"/>
        <v>CONSERVADOR-FOF´S</v>
      </c>
      <c r="B5" t="s">
        <v>7</v>
      </c>
      <c r="C5" s="5" t="s">
        <v>12</v>
      </c>
      <c r="D5" s="7">
        <v>0.1</v>
      </c>
    </row>
    <row r="6" spans="1:4" x14ac:dyDescent="0.3">
      <c r="A6" t="str">
        <f t="shared" si="0"/>
        <v>CONSERVADOR-DESENVOLVIMENTO</v>
      </c>
      <c r="B6" t="s">
        <v>7</v>
      </c>
      <c r="C6" s="5" t="s">
        <v>13</v>
      </c>
      <c r="D6" s="7">
        <v>0</v>
      </c>
    </row>
    <row r="7" spans="1:4" ht="15" thickBot="1" x14ac:dyDescent="0.35">
      <c r="A7" s="4" t="str">
        <f t="shared" si="0"/>
        <v>CONSERVADOR-HOTELARIAS</v>
      </c>
      <c r="B7" s="4" t="s">
        <v>7</v>
      </c>
      <c r="C7" s="9" t="s">
        <v>14</v>
      </c>
      <c r="D7" s="10">
        <v>0</v>
      </c>
    </row>
    <row r="8" spans="1:4" x14ac:dyDescent="0.3">
      <c r="A8" t="str">
        <f t="shared" si="0"/>
        <v>MODERADO-PAPEL</v>
      </c>
      <c r="B8" t="s">
        <v>16</v>
      </c>
      <c r="C8" s="5" t="s">
        <v>9</v>
      </c>
      <c r="D8" s="11">
        <v>0.32</v>
      </c>
    </row>
    <row r="9" spans="1:4" x14ac:dyDescent="0.3">
      <c r="A9" t="str">
        <f t="shared" si="0"/>
        <v>MODERADO-TIJOLO</v>
      </c>
      <c r="B9" t="s">
        <v>16</v>
      </c>
      <c r="C9" s="5" t="s">
        <v>10</v>
      </c>
      <c r="D9" s="11">
        <v>0.35</v>
      </c>
    </row>
    <row r="10" spans="1:4" x14ac:dyDescent="0.3">
      <c r="A10" t="str">
        <f t="shared" si="0"/>
        <v>MODERADO-HÍBRIDOS</v>
      </c>
      <c r="B10" t="s">
        <v>16</v>
      </c>
      <c r="C10" s="5" t="s">
        <v>11</v>
      </c>
      <c r="D10" s="11">
        <v>0.08</v>
      </c>
    </row>
    <row r="11" spans="1:4" x14ac:dyDescent="0.3">
      <c r="A11" t="str">
        <f t="shared" si="0"/>
        <v>MODERADO-FOF´S</v>
      </c>
      <c r="B11" t="s">
        <v>16</v>
      </c>
      <c r="C11" s="5" t="s">
        <v>12</v>
      </c>
      <c r="D11" s="11">
        <v>0.05</v>
      </c>
    </row>
    <row r="12" spans="1:4" x14ac:dyDescent="0.3">
      <c r="A12" t="str">
        <f t="shared" si="0"/>
        <v>MODERADO-DESENVOLVIMENTO</v>
      </c>
      <c r="B12" t="s">
        <v>16</v>
      </c>
      <c r="C12" s="5" t="s">
        <v>13</v>
      </c>
      <c r="D12" s="11">
        <v>0.1</v>
      </c>
    </row>
    <row r="13" spans="1:4" ht="15" thickBot="1" x14ac:dyDescent="0.35">
      <c r="A13" s="4" t="str">
        <f t="shared" si="0"/>
        <v>MODERADO-HOTELARIAS</v>
      </c>
      <c r="B13" s="4" t="s">
        <v>16</v>
      </c>
      <c r="C13" s="9" t="s">
        <v>14</v>
      </c>
      <c r="D13" s="10">
        <v>0.1</v>
      </c>
    </row>
    <row r="14" spans="1:4" x14ac:dyDescent="0.3">
      <c r="A14" t="str">
        <f t="shared" si="0"/>
        <v>AGRESSIVO-PAPEL</v>
      </c>
      <c r="B14" t="s">
        <v>15</v>
      </c>
      <c r="C14" s="5" t="s">
        <v>9</v>
      </c>
      <c r="D14" s="11">
        <v>0.5</v>
      </c>
    </row>
    <row r="15" spans="1:4" x14ac:dyDescent="0.3">
      <c r="A15" t="str">
        <f t="shared" si="0"/>
        <v>AGRESSIVO-TIJOLO</v>
      </c>
      <c r="B15" t="s">
        <v>15</v>
      </c>
      <c r="C15" s="5" t="s">
        <v>10</v>
      </c>
      <c r="D15" s="11">
        <v>0.1</v>
      </c>
    </row>
    <row r="16" spans="1:4" x14ac:dyDescent="0.3">
      <c r="A16" t="str">
        <f t="shared" si="0"/>
        <v>AGRESSIVO-HÍBRIDOS</v>
      </c>
      <c r="B16" t="s">
        <v>15</v>
      </c>
      <c r="C16" s="5" t="s">
        <v>11</v>
      </c>
      <c r="D16" s="11">
        <v>0.05</v>
      </c>
    </row>
    <row r="17" spans="1:4" x14ac:dyDescent="0.3">
      <c r="A17" t="str">
        <f t="shared" si="0"/>
        <v>AGRESSIVO-FOF´S</v>
      </c>
      <c r="B17" t="s">
        <v>15</v>
      </c>
      <c r="C17" s="5" t="s">
        <v>12</v>
      </c>
      <c r="D17" s="11">
        <v>0.05</v>
      </c>
    </row>
    <row r="18" spans="1:4" x14ac:dyDescent="0.3">
      <c r="A18" t="str">
        <f t="shared" si="0"/>
        <v>AGRESSIVO-DESENVOLVIMENTO</v>
      </c>
      <c r="B18" t="s">
        <v>15</v>
      </c>
      <c r="C18" s="5" t="s">
        <v>13</v>
      </c>
      <c r="D18" s="11">
        <v>0.2</v>
      </c>
    </row>
    <row r="19" spans="1:4" x14ac:dyDescent="0.3">
      <c r="A19" t="str">
        <f t="shared" si="0"/>
        <v>AGRESSIVO-HOTELARIAS</v>
      </c>
      <c r="B19" t="s">
        <v>15</v>
      </c>
      <c r="C19" s="5" t="s">
        <v>14</v>
      </c>
      <c r="D19" s="1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Investimentos</vt:lpstr>
      <vt:lpstr>Planilha2</vt:lpstr>
      <vt:lpstr>aporte</vt:lpstr>
      <vt:lpstr>dividendo</vt:lpstr>
      <vt:lpstr>patrimonio</vt:lpstr>
      <vt:lpstr>qtdAnos</vt:lpstr>
      <vt:lpstr>rendimentoCarteira</vt:lpstr>
      <vt:lpstr>salario</vt:lpstr>
      <vt:lpstr>sugestaoInvestimentos</vt:lpstr>
      <vt:lpstr>tabelaApoioPerfil</vt:lpstr>
      <vt:lpstr>taxaRendimento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Cesar Alves de Oliveira</dc:creator>
  <cp:lastModifiedBy>Júlio Cesar Alves de Oliveira</cp:lastModifiedBy>
  <dcterms:created xsi:type="dcterms:W3CDTF">2025-12-21T14:47:10Z</dcterms:created>
  <dcterms:modified xsi:type="dcterms:W3CDTF">2025-12-21T17:19:38Z</dcterms:modified>
</cp:coreProperties>
</file>